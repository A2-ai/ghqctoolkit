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cummings/projects/ghqctoolkit/example_models/"/>
    </mc:Choice>
  </mc:AlternateContent>
  <xr:revisionPtr revIDLastSave="0" documentId="13_ncr:1_{FE9ECCF5-EAC5-B640-A287-052EF2E06FC5}" xr6:coauthVersionLast="47" xr6:coauthVersionMax="47" xr10:uidLastSave="{00000000-0000-0000-0000-000000000000}"/>
  <bookViews>
    <workbookView xWindow="0" yWindow="880" windowWidth="34560" windowHeight="20200" activeTab="4" xr2:uid="{00000000-000D-0000-FFFF-FFFF00000000}"/>
  </bookViews>
  <sheets>
    <sheet name="Parameters" sheetId="1" r:id="rId1"/>
    <sheet name="Compartments" sheetId="2" r:id="rId2"/>
    <sheet name="Species" sheetId="3" r:id="rId3"/>
    <sheet name="Observables" sheetId="4" r:id="rId4"/>
    <sheet name="Reactions" sheetId="5" r:id="rId5"/>
    <sheet name="Rules" sheetId="6" r:id="rId6"/>
    <sheet name="Even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<sst xmlns="http://schemas.openxmlformats.org/spreadsheetml/2006/main" count="160" uniqueCount="107">
  <si>
    <t>Name</t>
  </si>
  <si>
    <t>kel</t>
  </si>
  <si>
    <t>kon</t>
  </si>
  <si>
    <t>km</t>
  </si>
  <si>
    <t>koff</t>
  </si>
  <si>
    <t>ktp</t>
  </si>
  <si>
    <t>kpt</t>
  </si>
  <si>
    <t>kdeg</t>
  </si>
  <si>
    <t>ksyn</t>
  </si>
  <si>
    <t>Value</t>
  </si>
  <si>
    <t>Units</t>
  </si>
  <si>
    <t>Constant</t>
  </si>
  <si>
    <t>Notes</t>
  </si>
  <si>
    <t>Plasma</t>
  </si>
  <si>
    <t>Tissue</t>
  </si>
  <si>
    <t>Target</t>
  </si>
  <si>
    <t>Complex</t>
  </si>
  <si>
    <t>Drug</t>
  </si>
  <si>
    <t>Compartment</t>
  </si>
  <si>
    <t>InitialAmount</t>
  </si>
  <si>
    <t>BoundaryCondition</t>
  </si>
  <si>
    <t>Expression</t>
  </si>
  <si>
    <t>Active</t>
  </si>
  <si>
    <t>Drug Elim (kel)</t>
  </si>
  <si>
    <t>Target Binding (kon/koff)</t>
  </si>
  <si>
    <t>Complex Elim (km)</t>
  </si>
  <si>
    <t>Tissue Distribution</t>
  </si>
  <si>
    <t>Target Synthesis (ksyn)</t>
  </si>
  <si>
    <t>Target Elim (kdeg)</t>
  </si>
  <si>
    <t>Reaction</t>
  </si>
  <si>
    <t>Plasma.Drug -&gt; null</t>
  </si>
  <si>
    <t>Plasma.Target + Plasma.Drug &lt;-&gt; Plasma.Complex</t>
  </si>
  <si>
    <t>Plasma.Complex -&gt; null</t>
  </si>
  <si>
    <t>Plasma.Drug &lt;-&gt; Tissue.Drug</t>
  </si>
  <si>
    <t>null -&gt; Plasma.Target</t>
  </si>
  <si>
    <t>Plasma.Target -&gt; null</t>
  </si>
  <si>
    <t>ReactionRate</t>
  </si>
  <si>
    <t>kel*Plasma.Drug</t>
  </si>
  <si>
    <t>km*Plasma.Complex</t>
  </si>
  <si>
    <t>kpt*Plasma.Drug - ktp*Tissue.Drug</t>
  </si>
  <si>
    <t>kdeg*Plasma.Target</t>
  </si>
  <si>
    <t>Synthesis Rate</t>
  </si>
  <si>
    <t>Rule</t>
  </si>
  <si>
    <t>ksyn = Target*kdeg</t>
  </si>
  <si>
    <t>RuleType</t>
  </si>
  <si>
    <t>initialAssignment</t>
  </si>
  <si>
    <t>Event</t>
  </si>
  <si>
    <t>dose_amount</t>
  </si>
  <si>
    <t>nanomole</t>
  </si>
  <si>
    <t>dose amount</t>
  </si>
  <si>
    <t>dose_interval</t>
  </si>
  <si>
    <t>dose interval</t>
  </si>
  <si>
    <t>dose_repeat</t>
  </si>
  <si>
    <t>dimensionless</t>
  </si>
  <si>
    <t>number of doses</t>
  </si>
  <si>
    <t>dose_rate</t>
  </si>
  <si>
    <t>dose rate</t>
  </si>
  <si>
    <t>Total</t>
  </si>
  <si>
    <t>tc</t>
  </si>
  <si>
    <t>day</t>
  </si>
  <si>
    <t>1/day</t>
  </si>
  <si>
    <t>liter/nanomole/day</t>
  </si>
  <si>
    <t>nanomole/day</t>
  </si>
  <si>
    <t>liter</t>
  </si>
  <si>
    <t>elimination rate of complex</t>
  </si>
  <si>
    <t>dissociation rate constant</t>
  </si>
  <si>
    <t>association rate constant</t>
  </si>
  <si>
    <t>r_1</t>
  </si>
  <si>
    <t>r_2</t>
  </si>
  <si>
    <t>r_3</t>
  </si>
  <si>
    <t>r_4</t>
  </si>
  <si>
    <t>r_5</t>
  </si>
  <si>
    <t>r_6</t>
  </si>
  <si>
    <t>kon*Plasma.Target*Plasma.Drug /Plasma- koff*Plasma.Complex</t>
  </si>
  <si>
    <t>repeatedAssignment</t>
  </si>
  <si>
    <t xml:space="preserve">Trigger </t>
  </si>
  <si>
    <t>Note</t>
  </si>
  <si>
    <t>e_1</t>
  </si>
  <si>
    <t>time &gt; tc</t>
  </si>
  <si>
    <t>Stop dose</t>
  </si>
  <si>
    <t>Elimnation rate in plasma</t>
  </si>
  <si>
    <t>Distribution coeficient from tissue to plasma</t>
  </si>
  <si>
    <t>Distribution coeficient from plasma to tissue</t>
  </si>
  <si>
    <t>Target degardation rate</t>
  </si>
  <si>
    <t>Target synthsyze rate defined by rules</t>
  </si>
  <si>
    <t>total drug in plasma and tissue defined by rules</t>
  </si>
  <si>
    <t>A critical time point for changing the dose</t>
  </si>
  <si>
    <t>new dose</t>
  </si>
  <si>
    <t>new_dose</t>
  </si>
  <si>
    <t>dose_amount= new_dose</t>
  </si>
  <si>
    <t>Simulation Time</t>
  </si>
  <si>
    <t>SimulationTime</t>
  </si>
  <si>
    <t>Drug ratio</t>
  </si>
  <si>
    <t>DrugRatio</t>
  </si>
  <si>
    <t>Total Drug</t>
  </si>
  <si>
    <t>AbsoluteTolerance</t>
  </si>
  <si>
    <t>RelativeTolerance</t>
  </si>
  <si>
    <t>Solver absolute tolerance</t>
  </si>
  <si>
    <t>Solver relative Tolerance</t>
  </si>
  <si>
    <t>SolverType</t>
  </si>
  <si>
    <t>ode15s</t>
  </si>
  <si>
    <t xml:space="preserve"> Total = Plasma.Drug + Tissue.Drug +Plasma.Complex</t>
  </si>
  <si>
    <t xml:space="preserve"> Tissue.Drug./(Plasma.Drug +Plasma.Complex)</t>
  </si>
  <si>
    <t>r_7</t>
  </si>
  <si>
    <t>null &lt;-&gt; null</t>
  </si>
  <si>
    <t>kdeg*0</t>
  </si>
  <si>
    <t>New 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</si>
</sst>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50" workbookViewId="0">
      <selection activeCell="B20" sqref="B20"/>
    </sheetView>
  </sheetViews>
  <sheetFormatPr baseColWidth="10" defaultColWidth="8.83203125" defaultRowHeight="15" x14ac:dyDescent="0.2"/>
  <cols>
    <col min="1" max="1" width="15.83203125" customWidth="1"/>
    <col min="2" max="2" width="20.6640625" customWidth="1"/>
    <col min="3" max="3" width="27" customWidth="1"/>
    <col min="4" max="4" width="25.83203125" customWidth="1"/>
    <col min="5" max="5" width="48.83203125" customWidth="1"/>
  </cols>
  <sheetData>
    <row r="1" spans="1:5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s="3" t="s">
        <v>91</v>
      </c>
      <c r="B2" s="4">
        <v>1</v>
      </c>
      <c r="C2" s="5" t="s">
        <v>59</v>
      </c>
      <c r="D2" s="4" t="b">
        <v>1</v>
      </c>
      <c r="E2" s="2" t="s">
        <v>90</v>
      </c>
    </row>
    <row r="3" spans="1:5" x14ac:dyDescent="0.2">
      <c r="A3" t="s">
        <v>95</v>
      </c>
      <c r="B3" s="7">
        <v>9.9999999999999995E-7</v>
      </c>
      <c r="C3" s="5" t="s">
        <v>53</v>
      </c>
      <c r="D3" t="b">
        <v>1</v>
      </c>
      <c r="E3" s="3" t="s">
        <v>97</v>
      </c>
    </row>
    <row r="4" spans="1:5" x14ac:dyDescent="0.2">
      <c r="A4" t="s">
        <v>96</v>
      </c>
      <c r="B4" s="7">
        <v>1E-3</v>
      </c>
      <c r="C4" s="5" t="s">
        <v>53</v>
      </c>
      <c r="D4" t="b">
        <v>1</v>
      </c>
      <c r="E4" s="3" t="s">
        <v>98</v>
      </c>
    </row>
    <row r="5" spans="1:5" x14ac:dyDescent="0.2">
      <c r="A5" t="s">
        <v>99</v>
      </c>
      <c r="B5" s="5">
        <v>0</v>
      </c>
      <c r="C5" s="5" t="s">
        <v>53</v>
      </c>
      <c r="D5" s="4" t="b">
        <v>1</v>
      </c>
      <c r="E5" s="2" t="s">
        <v>100</v>
      </c>
    </row>
    <row r="6" spans="1:5" x14ac:dyDescent="0.2">
      <c r="A6" t="s">
        <v>1</v>
      </c>
      <c r="B6" s="5">
        <v>2.4</v>
      </c>
      <c r="C6" s="5" t="s">
        <v>60</v>
      </c>
      <c r="D6" s="4" t="b">
        <v>1</v>
      </c>
      <c r="E6" s="2" t="s">
        <v>80</v>
      </c>
    </row>
    <row r="7" spans="1:5" x14ac:dyDescent="0.2">
      <c r="A7" t="s">
        <v>2</v>
      </c>
      <c r="B7" s="4">
        <f>0.01*24</f>
        <v>0.24</v>
      </c>
      <c r="C7" s="5" t="s">
        <v>61</v>
      </c>
      <c r="D7" s="4" t="b">
        <v>1</v>
      </c>
      <c r="E7" s="2" t="s">
        <v>66</v>
      </c>
    </row>
    <row r="8" spans="1:5" x14ac:dyDescent="0.2">
      <c r="A8" t="s">
        <v>3</v>
      </c>
      <c r="B8" s="4">
        <v>2.4</v>
      </c>
      <c r="C8" s="5" t="s">
        <v>60</v>
      </c>
      <c r="D8" s="4" t="b">
        <v>1</v>
      </c>
      <c r="E8" s="2" t="s">
        <v>64</v>
      </c>
    </row>
    <row r="9" spans="1:5" x14ac:dyDescent="0.2">
      <c r="A9" t="s">
        <v>4</v>
      </c>
      <c r="B9" s="4">
        <v>0.24</v>
      </c>
      <c r="C9" s="5" t="s">
        <v>60</v>
      </c>
      <c r="D9" s="4" t="b">
        <v>1</v>
      </c>
      <c r="E9" s="2" t="s">
        <v>65</v>
      </c>
    </row>
    <row r="10" spans="1:5" x14ac:dyDescent="0.2">
      <c r="A10" t="s">
        <v>5</v>
      </c>
      <c r="B10" s="4">
        <v>2.4</v>
      </c>
      <c r="C10" s="5" t="s">
        <v>60</v>
      </c>
      <c r="D10" s="4" t="b">
        <v>1</v>
      </c>
      <c r="E10" s="2" t="s">
        <v>81</v>
      </c>
    </row>
    <row r="11" spans="1:5" x14ac:dyDescent="0.2">
      <c r="A11" t="s">
        <v>6</v>
      </c>
      <c r="B11" s="4">
        <v>3</v>
      </c>
      <c r="C11" s="5" t="s">
        <v>60</v>
      </c>
      <c r="D11" s="4" t="b">
        <v>1</v>
      </c>
      <c r="E11" s="2" t="s">
        <v>82</v>
      </c>
    </row>
    <row r="12" spans="1:5" x14ac:dyDescent="0.2">
      <c r="A12" t="s">
        <v>7</v>
      </c>
      <c r="B12" s="4">
        <v>2.4</v>
      </c>
      <c r="C12" s="5" t="s">
        <v>60</v>
      </c>
      <c r="D12" s="4" t="b">
        <v>1</v>
      </c>
      <c r="E12" s="2" t="s">
        <v>83</v>
      </c>
    </row>
    <row r="13" spans="1:5" x14ac:dyDescent="0.2">
      <c r="A13" t="s">
        <v>8</v>
      </c>
      <c r="B13" s="4">
        <v>0</v>
      </c>
      <c r="C13" s="5" t="s">
        <v>62</v>
      </c>
      <c r="D13" s="4" t="b">
        <v>1</v>
      </c>
      <c r="E13" s="2" t="s">
        <v>84</v>
      </c>
    </row>
    <row r="14" spans="1:5" x14ac:dyDescent="0.2">
      <c r="A14" s="2" t="s">
        <v>47</v>
      </c>
      <c r="B14" s="7">
        <v>20</v>
      </c>
      <c r="C14" s="5" t="s">
        <v>48</v>
      </c>
      <c r="D14" s="4" t="b">
        <v>0</v>
      </c>
      <c r="E14" s="2" t="s">
        <v>49</v>
      </c>
    </row>
    <row r="15" spans="1:5" x14ac:dyDescent="0.2">
      <c r="A15" s="1" t="s">
        <v>50</v>
      </c>
      <c r="B15" s="4">
        <v>1</v>
      </c>
      <c r="C15" s="5" t="s">
        <v>59</v>
      </c>
      <c r="D15" s="4" t="b">
        <v>1</v>
      </c>
      <c r="E15" s="2" t="s">
        <v>51</v>
      </c>
    </row>
    <row r="16" spans="1:5" x14ac:dyDescent="0.2">
      <c r="A16" s="1" t="s">
        <v>52</v>
      </c>
      <c r="B16" s="4">
        <v>0</v>
      </c>
      <c r="C16" s="5" t="s">
        <v>53</v>
      </c>
      <c r="D16" s="4" t="b">
        <v>1</v>
      </c>
      <c r="E16" s="2" t="s">
        <v>54</v>
      </c>
    </row>
    <row r="17" spans="1:5" x14ac:dyDescent="0.2">
      <c r="A17" s="1" t="s">
        <v>55</v>
      </c>
      <c r="B17" s="4">
        <v>0</v>
      </c>
      <c r="C17" s="5" t="s">
        <v>62</v>
      </c>
      <c r="D17" s="4" t="b">
        <v>1</v>
      </c>
      <c r="E17" s="2" t="s">
        <v>56</v>
      </c>
    </row>
    <row r="18" spans="1:5" x14ac:dyDescent="0.2">
      <c r="A18" s="2" t="s">
        <v>57</v>
      </c>
      <c r="B18" s="4">
        <v>0</v>
      </c>
      <c r="C18" s="5" t="s">
        <v>48</v>
      </c>
      <c r="D18" s="4" t="b">
        <v>0</v>
      </c>
      <c r="E18" s="2" t="s">
        <v>85</v>
      </c>
    </row>
    <row r="19" spans="1:5" x14ac:dyDescent="0.2">
      <c r="A19" s="2" t="s">
        <v>58</v>
      </c>
      <c r="B19" s="4">
        <v>10</v>
      </c>
      <c r="C19" s="5" t="s">
        <v>59</v>
      </c>
      <c r="D19" s="4" t="b">
        <v>1</v>
      </c>
      <c r="E19" s="2" t="s">
        <v>86</v>
      </c>
    </row>
    <row r="20" spans="1:5" x14ac:dyDescent="0.2">
      <c r="A20" s="2" t="s">
        <v>88</v>
      </c>
      <c r="B20" s="4">
        <v>1</v>
      </c>
      <c r="C20" s="5" t="s">
        <v>48</v>
      </c>
      <c r="D20" s="4" t="b">
        <v>1</v>
      </c>
      <c r="E20" s="2" t="s">
        <v>87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="221" workbookViewId="0">
      <selection activeCell="D3" sqref="D3"/>
    </sheetView>
  </sheetViews>
  <sheetFormatPr baseColWidth="10" defaultColWidth="8.83203125" defaultRowHeight="15" x14ac:dyDescent="0.2"/>
  <cols>
    <col min="1" max="1" width="7.5" customWidth="1"/>
    <col min="2" max="2" width="13.83203125" customWidth="1"/>
    <col min="3" max="3" width="8.83203125" customWidth="1"/>
    <col min="4" max="4" width="9" customWidth="1"/>
    <col min="5" max="5" width="6.5" customWidth="1"/>
  </cols>
  <sheetData>
    <row r="1" spans="1:5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13</v>
      </c>
      <c r="B2">
        <v>7</v>
      </c>
      <c r="C2" s="3" t="s">
        <v>63</v>
      </c>
      <c r="D2" t="b">
        <v>1</v>
      </c>
      <c r="E2" t="s">
        <v>13</v>
      </c>
    </row>
    <row r="3" spans="1:5" x14ac:dyDescent="0.2">
      <c r="A3" t="s">
        <v>14</v>
      </c>
      <c r="B3">
        <v>1</v>
      </c>
      <c r="C3" s="3" t="s">
        <v>63</v>
      </c>
      <c r="D3" t="b">
        <v>1</v>
      </c>
      <c r="E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59" workbookViewId="0">
      <selection activeCell="F9" sqref="F9"/>
    </sheetView>
  </sheetViews>
  <sheetFormatPr baseColWidth="10" defaultColWidth="8.83203125" defaultRowHeight="15" x14ac:dyDescent="0.2"/>
  <cols>
    <col min="1" max="1" width="21.5" customWidth="1"/>
    <col min="2" max="3" width="13.5" customWidth="1"/>
    <col min="4" max="4" width="18.1640625" customWidth="1"/>
    <col min="5" max="5" width="13.5" customWidth="1"/>
    <col min="6" max="6" width="18.33203125" customWidth="1"/>
    <col min="7" max="7" width="11" customWidth="1"/>
  </cols>
  <sheetData>
    <row r="1" spans="1:7" x14ac:dyDescent="0.2">
      <c r="A1" t="s">
        <v>0</v>
      </c>
      <c r="B1" t="s">
        <v>18</v>
      </c>
      <c r="C1" t="s">
        <v>19</v>
      </c>
      <c r="D1" t="s">
        <v>10</v>
      </c>
      <c r="E1" t="s">
        <v>11</v>
      </c>
      <c r="F1" t="s">
        <v>20</v>
      </c>
      <c r="G1" t="s">
        <v>12</v>
      </c>
    </row>
    <row r="2" spans="1:7" x14ac:dyDescent="0.2">
      <c r="A2" t="s">
        <v>15</v>
      </c>
      <c r="B2" t="s">
        <v>13</v>
      </c>
      <c r="C2" s="4">
        <v>100</v>
      </c>
      <c r="D2" s="3" t="s">
        <v>48</v>
      </c>
      <c r="E2" t="b">
        <v>1</v>
      </c>
      <c r="F2" t="b">
        <v>0</v>
      </c>
      <c r="G2" t="s">
        <v>15</v>
      </c>
    </row>
    <row r="3" spans="1:7" x14ac:dyDescent="0.2">
      <c r="A3" t="s">
        <v>16</v>
      </c>
      <c r="B3" t="s">
        <v>13</v>
      </c>
      <c r="C3" s="4">
        <v>0</v>
      </c>
      <c r="D3" s="3" t="s">
        <v>48</v>
      </c>
      <c r="E3" t="b">
        <v>0</v>
      </c>
      <c r="F3" t="b">
        <v>0</v>
      </c>
      <c r="G3" t="s">
        <v>16</v>
      </c>
    </row>
    <row r="4" spans="1:7" x14ac:dyDescent="0.2">
      <c r="A4" t="s">
        <v>17</v>
      </c>
      <c r="B4" t="s">
        <v>13</v>
      </c>
      <c r="C4" s="4">
        <v>0</v>
      </c>
      <c r="D4" s="3" t="s">
        <v>48</v>
      </c>
      <c r="E4" t="b">
        <v>0</v>
      </c>
      <c r="F4" t="b">
        <v>0</v>
      </c>
      <c r="G4" t="s">
        <v>17</v>
      </c>
    </row>
    <row r="5" spans="1:7" x14ac:dyDescent="0.2">
      <c r="A5" t="s">
        <v>17</v>
      </c>
      <c r="B5" t="s">
        <v>14</v>
      </c>
      <c r="C5" s="4">
        <v>0</v>
      </c>
      <c r="D5" s="3" t="s">
        <v>48</v>
      </c>
      <c r="E5" t="b">
        <v>0</v>
      </c>
      <c r="F5" t="b">
        <v>0</v>
      </c>
      <c r="G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="180" workbookViewId="0">
      <selection activeCell="A2" sqref="A2"/>
    </sheetView>
  </sheetViews>
  <sheetFormatPr baseColWidth="10" defaultColWidth="8.83203125" defaultRowHeight="15" x14ac:dyDescent="0.2"/>
  <cols>
    <col min="1" max="1" width="19.1640625" customWidth="1"/>
    <col min="2" max="2" width="41.83203125" customWidth="1"/>
    <col min="3" max="3" width="17" customWidth="1"/>
    <col min="4" max="4" width="6.6640625" customWidth="1"/>
    <col min="5" max="5" width="25.5" customWidth="1"/>
  </cols>
  <sheetData>
    <row r="1" spans="1:5" x14ac:dyDescent="0.2">
      <c r="A1" t="s">
        <v>0</v>
      </c>
      <c r="B1" t="s">
        <v>21</v>
      </c>
      <c r="C1" t="s">
        <v>10</v>
      </c>
      <c r="D1" t="s">
        <v>22</v>
      </c>
      <c r="E1" t="s">
        <v>12</v>
      </c>
    </row>
    <row r="2" spans="1:5" x14ac:dyDescent="0.2">
      <c r="A2" s="3" t="s">
        <v>93</v>
      </c>
      <c r="B2" s="3" t="s">
        <v>102</v>
      </c>
      <c r="C2" s="5" t="s">
        <v>53</v>
      </c>
      <c r="D2" t="b">
        <v>1</v>
      </c>
      <c r="E2" s="3" t="s">
        <v>92</v>
      </c>
    </row>
    <row r="10" spans="1:5" x14ac:dyDescent="0.2">
      <c r="B10" s="3"/>
      <c r="C10" s="3"/>
      <c r="E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abSelected="1" topLeftCell="B1" zoomScale="194" workbookViewId="0">
      <selection activeCell="E8" sqref="E8"/>
    </sheetView>
  </sheetViews>
  <sheetFormatPr baseColWidth="10" defaultColWidth="8.83203125" defaultRowHeight="15" x14ac:dyDescent="0.2"/>
  <cols>
    <col min="1" max="1" width="23.5" customWidth="1"/>
    <col min="2" max="2" width="44.6640625" customWidth="1"/>
    <col min="3" max="3" width="50.6640625" customWidth="1"/>
    <col min="4" max="4" width="11.1640625" customWidth="1"/>
    <col min="5" max="5" width="17.6640625" customWidth="1"/>
  </cols>
  <sheetData>
    <row r="1" spans="1:5" x14ac:dyDescent="0.2">
      <c r="A1" t="s">
        <v>0</v>
      </c>
      <c r="B1" t="s">
        <v>29</v>
      </c>
      <c r="C1" t="s">
        <v>36</v>
      </c>
      <c r="D1" t="s">
        <v>22</v>
      </c>
      <c r="E1" s="3" t="s">
        <v>12</v>
      </c>
    </row>
    <row r="2" spans="1:5" x14ac:dyDescent="0.2">
      <c r="A2" s="3" t="s">
        <v>67</v>
      </c>
      <c r="B2" t="s">
        <v>30</v>
      </c>
      <c r="C2" t="s">
        <v>37</v>
      </c>
      <c r="D2" t="b">
        <v>1</v>
      </c>
      <c r="E2" t="s">
        <v>23</v>
      </c>
    </row>
    <row r="3" spans="1:5" x14ac:dyDescent="0.2">
      <c r="A3" s="3" t="s">
        <v>68</v>
      </c>
      <c r="B3" s="3" t="s">
        <v>31</v>
      </c>
      <c r="C3" s="3" t="s">
        <v>73</v>
      </c>
      <c r="D3" t="b">
        <v>1</v>
      </c>
      <c r="E3" t="s">
        <v>24</v>
      </c>
    </row>
    <row r="4" spans="1:5" x14ac:dyDescent="0.2">
      <c r="A4" s="3" t="s">
        <v>69</v>
      </c>
      <c r="B4" t="s">
        <v>32</v>
      </c>
      <c r="C4" t="s">
        <v>38</v>
      </c>
      <c r="D4" t="b">
        <v>1</v>
      </c>
      <c r="E4" t="s">
        <v>25</v>
      </c>
    </row>
    <row r="5" spans="1:5" x14ac:dyDescent="0.2">
      <c r="A5" s="3" t="s">
        <v>70</v>
      </c>
      <c r="B5" t="s">
        <v>33</v>
      </c>
      <c r="C5" t="s">
        <v>39</v>
      </c>
      <c r="D5" t="b">
        <v>1</v>
      </c>
      <c r="E5" t="s">
        <v>26</v>
      </c>
    </row>
    <row r="6" spans="1:5" x14ac:dyDescent="0.2">
      <c r="A6" s="3" t="s">
        <v>71</v>
      </c>
      <c r="B6" t="s">
        <v>34</v>
      </c>
      <c r="C6" t="s">
        <v>8</v>
      </c>
      <c r="D6" t="b">
        <v>1</v>
      </c>
      <c r="E6" t="s">
        <v>27</v>
      </c>
    </row>
    <row r="7" spans="1:5" x14ac:dyDescent="0.2">
      <c r="A7" s="3" t="s">
        <v>72</v>
      </c>
      <c r="B7" t="s">
        <v>35</v>
      </c>
      <c r="C7" t="s">
        <v>40</v>
      </c>
      <c r="D7" t="b">
        <v>1</v>
      </c>
      <c r="E7" t="s">
        <v>28</v>
      </c>
    </row>
    <row r="8" spans="1:5" x14ac:dyDescent="0.2">
      <c r="A8" s="3" t="s">
        <v>103</v>
      </c>
      <c r="B8" s="3" t="s">
        <v>104</v>
      </c>
      <c r="C8" s="3" t="s">
        <v>105</v>
      </c>
      <c r="D8" t="b">
        <v>0</v>
      </c>
      <c r="E8" s="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="174" workbookViewId="0">
      <selection activeCell="B3" sqref="B3"/>
    </sheetView>
  </sheetViews>
  <sheetFormatPr baseColWidth="10" defaultColWidth="8.83203125" defaultRowHeight="15" x14ac:dyDescent="0.2"/>
  <cols>
    <col min="1" max="1" width="28.83203125" customWidth="1"/>
    <col min="2" max="2" width="39.83203125" customWidth="1"/>
    <col min="3" max="3" width="27.83203125" customWidth="1"/>
    <col min="4" max="4" width="18.33203125" customWidth="1"/>
    <col min="5" max="5" width="17.6640625" customWidth="1"/>
  </cols>
  <sheetData>
    <row r="1" spans="1:6" x14ac:dyDescent="0.2">
      <c r="A1" t="s">
        <v>0</v>
      </c>
      <c r="B1" t="s">
        <v>42</v>
      </c>
      <c r="C1" t="s">
        <v>44</v>
      </c>
      <c r="D1" t="s">
        <v>22</v>
      </c>
      <c r="E1" s="3" t="s">
        <v>12</v>
      </c>
    </row>
    <row r="2" spans="1:6" x14ac:dyDescent="0.2">
      <c r="A2" s="3" t="s">
        <v>67</v>
      </c>
      <c r="B2" t="s">
        <v>43</v>
      </c>
      <c r="C2" t="s">
        <v>45</v>
      </c>
      <c r="D2" t="b">
        <v>1</v>
      </c>
      <c r="E2" t="s">
        <v>41</v>
      </c>
    </row>
    <row r="3" spans="1:6" x14ac:dyDescent="0.2">
      <c r="A3" s="3" t="s">
        <v>68</v>
      </c>
      <c r="B3" s="3" t="s">
        <v>101</v>
      </c>
      <c r="C3" s="3" t="s">
        <v>74</v>
      </c>
      <c r="D3" t="b">
        <v>1</v>
      </c>
      <c r="E3" s="3" t="s">
        <v>94</v>
      </c>
    </row>
    <row r="9" spans="1:6" x14ac:dyDescent="0.2">
      <c r="B9" s="3"/>
      <c r="C9" s="3"/>
      <c r="D9" s="3"/>
      <c r="F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zoomScale="206" workbookViewId="0">
      <selection activeCell="E2" sqref="A1:E2"/>
    </sheetView>
  </sheetViews>
  <sheetFormatPr baseColWidth="10" defaultColWidth="8.83203125" defaultRowHeight="15" x14ac:dyDescent="0.2"/>
  <cols>
    <col min="1" max="1" width="18.1640625" customWidth="1"/>
    <col min="2" max="2" width="17.83203125" customWidth="1"/>
    <col min="3" max="3" width="27.5" customWidth="1"/>
    <col min="4" max="4" width="15.5" customWidth="1"/>
    <col min="5" max="5" width="13.83203125" customWidth="1"/>
  </cols>
  <sheetData>
    <row r="1" spans="1:5" x14ac:dyDescent="0.2">
      <c r="A1" s="3" t="s">
        <v>0</v>
      </c>
      <c r="B1" s="6" t="s">
        <v>75</v>
      </c>
      <c r="C1" s="3" t="s">
        <v>46</v>
      </c>
      <c r="D1" s="3" t="s">
        <v>22</v>
      </c>
      <c r="E1" s="3" t="s">
        <v>76</v>
      </c>
    </row>
    <row r="2" spans="1:5" x14ac:dyDescent="0.2">
      <c r="A2" s="3" t="s">
        <v>77</v>
      </c>
      <c r="B2" s="3" t="s">
        <v>78</v>
      </c>
      <c r="C2" s="3" t="s">
        <v>89</v>
      </c>
      <c r="D2" t="b">
        <v>0</v>
      </c>
      <c r="E2" s="3" t="s">
        <v>79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Compartments</vt:lpstr>
      <vt:lpstr>Species</vt:lpstr>
      <vt:lpstr>Observables</vt:lpstr>
      <vt:lpstr>Reactions</vt:lpstr>
      <vt:lpstr>Rules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Cummings</cp:lastModifiedBy>
  <dcterms:created xsi:type="dcterms:W3CDTF">2025-08-12T13:16:53Z</dcterms:created>
  <dcterms:modified xsi:type="dcterms:W3CDTF">2025-10-13T15:35:41Z</dcterms:modified>
</cp:coreProperties>
</file>